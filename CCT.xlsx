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etor Administrativo\Dados Colaboradores\Gisele\Criação aplicativo Rafa\"/>
    </mc:Choice>
  </mc:AlternateContent>
  <xr:revisionPtr revIDLastSave="0" documentId="8_{3241D173-B2B0-4ECF-B648-F7BA1E4CCE02}" xr6:coauthVersionLast="47" xr6:coauthVersionMax="47" xr10:uidLastSave="{00000000-0000-0000-0000-000000000000}"/>
  <bookViews>
    <workbookView xWindow="-108" yWindow="-108" windowWidth="23256" windowHeight="12576" xr2:uid="{C732240A-2959-4922-960E-C3EA5F59A06D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E3" i="1" l="1"/>
</calcChain>
</file>

<file path=xl/sharedStrings.xml><?xml version="1.0" encoding="utf-8"?>
<sst xmlns="http://schemas.openxmlformats.org/spreadsheetml/2006/main" count="104" uniqueCount="104">
  <si>
    <t>SINDICATO PATRONAL:</t>
  </si>
  <si>
    <t>Sindicato das empresas de transporte de cargas e logística do sul de Santa Catarina – SETRANSC.</t>
  </si>
  <si>
    <t>SITUAÇÃO DA CONVENCÃO</t>
  </si>
  <si>
    <t>SINDICATO LABORAL:</t>
  </si>
  <si>
    <t>Sindicato Condutores de Veículos e trabalhadores do transporte rodoviário de cargas e passageiros de Criciuma</t>
  </si>
  <si>
    <t>APELIDO:</t>
  </si>
  <si>
    <t>Sindicato dos Transportes de Criciúma</t>
  </si>
  <si>
    <t>DATA DE VIGÊNCIA:</t>
  </si>
  <si>
    <t>01/09/2025 a 31/08/2026</t>
  </si>
  <si>
    <t>DATA DE EXPIRAÇÃO:</t>
  </si>
  <si>
    <t>PISO SALARIAL:</t>
  </si>
  <si>
    <t>Motorista de viagem:</t>
  </si>
  <si>
    <t>Motorista de coleto e entrega até 150km:</t>
  </si>
  <si>
    <t>Motoboy:</t>
  </si>
  <si>
    <t>Ajudantes de carga e descarda de mercadoriase demais empregados:</t>
  </si>
  <si>
    <t>Office-boys e pessoal de limpeza:</t>
  </si>
  <si>
    <t>HORAS EXTRAS:</t>
  </si>
  <si>
    <t>Dias Normais (segunda à sábado):</t>
  </si>
  <si>
    <t>Horas extras realizadas domingos e feriados:</t>
  </si>
  <si>
    <t>Observações importantes sobre horas extras:</t>
  </si>
  <si>
    <t>1) Quantidade máxima de horas extras diárias é de 4 horas (o normal é apenas 2, mas para essa classe permite-se 4)</t>
  </si>
  <si>
    <t>2) É permitido às pessoas que exercem atividades insalubres a realização de Horas extras, desde que o empregado concorde com a realização das mesmas por escrito.</t>
  </si>
  <si>
    <t>ADICIONAL NOTURNO</t>
  </si>
  <si>
    <t>INSALUBRIDADE/PERICULOSIDADE:</t>
  </si>
  <si>
    <t>Conforme Laudos de SST.</t>
  </si>
  <si>
    <t>COMPENSAÇÃO DE JORNADA E HORAS EXTRAS:</t>
  </si>
  <si>
    <t>Dispensa formalidades junto ao sindicato.</t>
  </si>
  <si>
    <t>BANCO DE HORAS:</t>
  </si>
  <si>
    <t>1) pode ser feito sem formalidades por um prazo de 60 dias;</t>
  </si>
  <si>
    <t>2) as primeiras e segundas horas extras realizadas no dia poderão ser depositadas no banco de horas. O que for realizado além dessas horas, no mesmo dia, deverão ser pagas na folha do mês.</t>
  </si>
  <si>
    <t>3) Se, ao final do período de compensação (60 dias), o banco de horas possuir saldo positivo, este deverá ser lançado como horas extras com acréscimo de 60% na folha de pagamento do empregado.</t>
  </si>
  <si>
    <t>4) No caso de desligamento por iniciativa da empresa, o saldo negativo que porventura existir no banco de horas não poderá ser descontado do colaborador;</t>
  </si>
  <si>
    <t>5) No caso de desligamento por iniciativa da empresa, o saldo positivo que porventura existir no banco de horas deverá ser pago com acréscimo de 60%</t>
  </si>
  <si>
    <t>AVISO PRÉVIO:</t>
  </si>
  <si>
    <t>Empregados com mais de 5 anos de empresa e mais de 50 anos de idade:</t>
  </si>
  <si>
    <t>1) O colaborador que cumprir esses requisitos terá direito a um acréscimo de 30 dias ao tempo do aviso legal a que tem direito, sendo a quantidade de dias total do aviso limitada a 90 dias. Essa regra se aplica ao aviso prévio indenizado também.</t>
  </si>
  <si>
    <t>Demais empregados:</t>
  </si>
  <si>
    <t>2) Regra geral da CLT.</t>
  </si>
  <si>
    <t>CONTROLE DE JORNADA:</t>
  </si>
  <si>
    <t>1) É obrigatório para empresas que contem com mais de 10 empregados em serviços internos de oficina e escritório;</t>
  </si>
  <si>
    <t>2) Os serviços externos serão controlados por meio de sistema eletrônico de ponto ou ficha de controle de horário externo.</t>
  </si>
  <si>
    <t>GARANTIAS DE EMPREGO (ESTABILIDADE):</t>
  </si>
  <si>
    <t>Empregado que retorna de afastamento por acidente de trabalho:</t>
  </si>
  <si>
    <t>12 meses, conforme CLT.</t>
  </si>
  <si>
    <t>Empregados que retornam do auxílio-doença:</t>
  </si>
  <si>
    <t xml:space="preserve">Até 60 dias após a comunicação da cessação do benefício. </t>
  </si>
  <si>
    <t>Gestante:</t>
  </si>
  <si>
    <t>Desde a concepção até 150 dias após o parto.</t>
  </si>
  <si>
    <t>Pré-aposentadoria (Por tempo de serviço ou especial):</t>
  </si>
  <si>
    <t xml:space="preserve">12 meses pelo prazo imediatamente anteriores a aquisição do direito a aposentadoria. O empregado deve possuir mais de 5 anos de trabalho ininterrupto na mesma empresa. E a informação do direito adquirido a aposentadoria deve ser feita ao empregador logo que o empregado o adquira (por meio de documento fornecido pelo INSS), sob pena de não fazer jus a estabilidade. OBS.: O empregado fará jus a esta estabilidade apenas 1 vez. E a mesma cessará caso o empregado não se aposente depois de adquirir o direito a aposentadoria. </t>
  </si>
  <si>
    <t>Observações gerais:</t>
  </si>
  <si>
    <t xml:space="preserve">1) A empresa que dispensar o empregado que se encontra em situação de estabilidade sem justa causa fica sujeita ao pagamento dos salários correspondentes ao período que faltar para completar a estabilidade. </t>
  </si>
  <si>
    <t xml:space="preserve">2) Cuidar de Gestante, não pode ser desligada de forma alguma. </t>
  </si>
  <si>
    <t xml:space="preserve">3) Ficam excetuados da observação da estabilidade os desligamentos realizados por contrato a prazo, justa causa (falta grave), mutúo acordo ou a pedido do colaborador. </t>
  </si>
  <si>
    <t>FALTAS JUSTIFICADAS:</t>
  </si>
  <si>
    <t>Empregado estudante:</t>
  </si>
  <si>
    <t>O Estudante poderá faltar para a prestação de exames escolares ou vestibulares, desde que haja a comunicação prévia de até 72 horas e comprovação posterior.</t>
  </si>
  <si>
    <t>ATESTADOS MÉDICOS:</t>
  </si>
  <si>
    <t>Segue regra geral, sem observações.</t>
  </si>
  <si>
    <t>CONTRIBUIÇÕES AOS SINDICATOS:</t>
  </si>
  <si>
    <t>Taxa assistencial negocial ao sindicato laboral:</t>
  </si>
  <si>
    <t>1)As empresas descontarão dos empregados, na folha de novembro/25,  o valor de 4% do salário base do empregado. O recolhimento da contribuição ao sindicato deverá ocorrer no mês seguinte. OBS.: Os empregados que recebem um salário superior ao piso normativo do motorista de viagem, terão seus descontos calculados sobre o piso salarial do motrista de viagem.</t>
  </si>
  <si>
    <t>2) O empregado pode se opor ao desconto por meio de carta escrita a próprio punho, em duas vias e entregue presencialmente na sede do sindicato, até o dia 25/11/2025.</t>
  </si>
  <si>
    <t>Taxa especial ao sindicato laboral:</t>
  </si>
  <si>
    <t>Taxa a ser paga pela empresa no valor de 0,5% do salário mínimo multiplicado pela quantidade de empregados vinculados a categoria que a empresa possui.</t>
  </si>
  <si>
    <t>Taxa assistencial ao sindicato patronal:</t>
  </si>
  <si>
    <t>1) As empresas ficam obrigadas ao recolhimento desta taxa, cujo valor é R$ 1.000,00, dividido em 4 parcelas, no valor de R$ 250,00 cada, cujo os vencimentos serão: 15/12/25, 15/01/26, 15/02/26 e 15/03/26.</t>
  </si>
  <si>
    <t>2) A empresa poderá, no prazo de 10 dias após o registro da convenção, opor-se ao pagamento desta taxa, na forma orientada do sindicato patronal.</t>
  </si>
  <si>
    <t>3) As empresas que se opuserem ao pagamento da taxa não terão direito as vantagens previstas nas cláusulas 25ª (Banco de horas) E 24ª (3ª e 4ª horas extras)</t>
  </si>
  <si>
    <t>DEMAIS SITUAÇÕES A OBSERVAR:</t>
  </si>
  <si>
    <t>Adiantamentos salariais:</t>
  </si>
  <si>
    <t>As empresas devem conceder aos colaboradores que solicitarem por escrito, um adiantamento salarial de até 40% do salário do mês anterior.</t>
  </si>
  <si>
    <t>Vale transporte:</t>
  </si>
  <si>
    <t>É facultado a emprega realizar o pagamento do vale transporte em dinheiro ao empregado.</t>
  </si>
  <si>
    <t>Diária (reembolso de despesas) - para motoristas que dormem fora de casa:</t>
  </si>
  <si>
    <t>R$ 86,71.</t>
  </si>
  <si>
    <t>Diária (reembolso de despesas) - para os demais motoristas que não dormirem fora de casa mas que trabalharem mais de 10 horas no dia:</t>
  </si>
  <si>
    <t>Diária (reembolso de despesas) - para os demais motoristas:</t>
  </si>
  <si>
    <t>R$ 38,54.</t>
  </si>
  <si>
    <t>Diária (reembolso de despesas) - ajudantes de motoristas</t>
  </si>
  <si>
    <t>Terá direito ao mesmo valor que o motorista tiver.</t>
  </si>
  <si>
    <t>Cópia do contrato individual de trabalho:</t>
  </si>
  <si>
    <t>As empresas devem fornecer aos empregados admitidos uma cópia do contrato de trabalho (obrigatoriamente).</t>
  </si>
  <si>
    <t>Equipamentos obrigatórios no veículo:</t>
  </si>
  <si>
    <t>1) a empresa deve responsabilizar-se por manter em dia todos os materiais e equipamentos exigidos pelo código de trânsito brasileiro e demais normas de segurança aplicáveis;</t>
  </si>
  <si>
    <t>2) Caso o veículos não possua os equipamentos de segurança descritos acima, o empregado tem o direito e de não realizar a viagem;</t>
  </si>
  <si>
    <t>3) A empresa será obrigada a  assumir a responsabilidade que quaisquer sanções sofridas pelo colaborador por ausência dos equipamentos de segurança mencionados acima.</t>
  </si>
  <si>
    <t>Seguro de vida:</t>
  </si>
  <si>
    <t>As empresas devem ter um seguro de vida em grupo para todos os colaboradores, conjugado com acidentes pessoais (morte invalidez), no valorinicial de R$ 50.000,00.</t>
  </si>
  <si>
    <t>Intervalo para lanche:</t>
  </si>
  <si>
    <t>Os intervalos de 15 minutos para lanche, para os colaboradores com atividades de serviços internos serão computados como tempo de serviço na jornada diária.</t>
  </si>
  <si>
    <t>Uniformes e materiais:</t>
  </si>
  <si>
    <t>A empresa deve fornecer gratuitamente todos os uniformes, EPIs e instrumentos necessários ao desenvolvimento do trabalho, seja os exigidos por lei ou pela própria empresa. Devendo o colaborador devolver os mesmo quando da remoção, substituição ou desligamento do mesmo.</t>
  </si>
  <si>
    <t>Suspensão do contrato de experiência:</t>
  </si>
  <si>
    <t>O contrato de experiência será suspenso caso o colaborador, na vigência deste, entre em auxílio doença sendo retomado quando o mesmo retornar do afastamento.</t>
  </si>
  <si>
    <t>Férias:</t>
  </si>
  <si>
    <t>1) No ato do recebimento do aviso de férias, o colaborador poderá optar pelo fracionamento das férias em dois períodos, sendo que o segundo poderá ser escolhido pelo empregado, mediante prévio ajuste com a empresa.</t>
  </si>
  <si>
    <t>2) Caso o colaborador opte por vender os 10 dias das férias a que tem direito, não terá direito ao fracionamento das férias.</t>
  </si>
  <si>
    <t xml:space="preserve">Jornada 12 x 36 </t>
  </si>
  <si>
    <t xml:space="preserve">É autorizado à empresa a adoção do regime 12 x 36 para os colaboradores que exerçam as atividades de vigilantes/guardas, atividades administrativas, de manutenção, limpeza e segurança. </t>
  </si>
  <si>
    <t>ASSISTÊNCIA SINDICAL NAS RESCISÕES:</t>
  </si>
  <si>
    <r>
      <rPr>
        <sz val="8"/>
        <color indexed="8"/>
        <rFont val="Tahoma"/>
        <family val="2"/>
      </rPr>
      <t xml:space="preserve">Devem ser realizadas para empregados que contem com mais de 06  meses de trabalho na empresa. O não cumprimento dessa cláusula pode ensejar o uma multa a ser paga so SINTRACRIL no valor do salário base do colaborador. </t>
    </r>
    <r>
      <rPr>
        <b/>
        <i/>
        <sz val="8"/>
        <rFont val="Tahoma"/>
        <family val="2"/>
      </rPr>
      <t>OBS.: A reforma trabalhista dispensou a homologação.</t>
    </r>
  </si>
  <si>
    <t>CONTATOS NO SINDICATO:</t>
  </si>
  <si>
    <t>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</si>
</sst>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[Red]&quot;-R$ &quot;#,##0.00"/>
  </numFmts>
  <fonts count="7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name val="Tahoma"/>
      <family val="2"/>
    </font>
    <font>
      <sz val="8"/>
      <color rgb="FF000000"/>
      <name val="Tahoma"/>
      <family val="2"/>
    </font>
    <font>
      <b/>
      <i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  <fill>
      <patternFill patternType="solid">
        <fgColor rgb="FFDDDDDD"/>
        <bgColor indexed="59"/>
      </patternFill>
    </fill>
    <fill>
      <patternFill patternType="solid">
        <fgColor rgb="FFCCECFF"/>
        <bgColor indexed="64"/>
      </patternFill>
    </fill>
    <fill>
      <patternFill patternType="solid">
        <fgColor rgb="FF99CCFF"/>
        <bgColor indexed="46"/>
      </patternFill>
    </fill>
  </fills>
  <borders count="5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ck">
        <color indexed="8"/>
      </left>
      <right style="hair">
        <color indexed="8"/>
      </right>
      <top style="thick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ck">
        <color indexed="8"/>
      </top>
      <bottom style="hair">
        <color indexed="8"/>
      </bottom>
      <diagonal/>
    </border>
    <border>
      <left style="hair">
        <color indexed="8"/>
      </left>
      <right style="thick">
        <color indexed="8"/>
      </right>
      <top style="thick">
        <color indexed="8"/>
      </top>
      <bottom style="hair">
        <color indexed="8"/>
      </bottom>
      <diagonal/>
    </border>
    <border>
      <left style="thick">
        <color indexed="8"/>
      </left>
      <right style="hair">
        <color indexed="8"/>
      </right>
      <top style="hair">
        <color indexed="8"/>
      </top>
      <bottom style="thick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ck">
        <color indexed="8"/>
      </bottom>
      <diagonal/>
    </border>
    <border>
      <left style="hair">
        <color indexed="8"/>
      </left>
      <right style="thick">
        <color indexed="8"/>
      </right>
      <top style="hair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hair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hair">
        <color indexed="8"/>
      </right>
      <top/>
      <bottom style="thick">
        <color indexed="8"/>
      </bottom>
      <diagonal/>
    </border>
    <border>
      <left style="thick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ck">
        <color indexed="8"/>
      </right>
      <top style="hair">
        <color indexed="8"/>
      </top>
      <bottom style="hair">
        <color indexed="8"/>
      </bottom>
      <diagonal/>
    </border>
    <border>
      <left style="thick">
        <color indexed="8"/>
      </left>
      <right style="hair">
        <color indexed="8"/>
      </right>
      <top style="thick">
        <color indexed="8"/>
      </top>
      <bottom style="thick">
        <color indexed="8"/>
      </bottom>
      <diagonal/>
    </border>
    <border>
      <left style="hair">
        <color indexed="8"/>
      </left>
      <right style="hair">
        <color indexed="8"/>
      </right>
      <top style="thick">
        <color indexed="8"/>
      </top>
      <bottom style="thick">
        <color indexed="8"/>
      </bottom>
      <diagonal/>
    </border>
    <border>
      <left style="hair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hair">
        <color indexed="8"/>
      </right>
      <top style="thick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ck">
        <color indexed="8"/>
      </top>
      <bottom style="thin">
        <color indexed="8"/>
      </bottom>
      <diagonal/>
    </border>
    <border>
      <left style="hair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hair">
        <color indexed="8"/>
      </right>
      <top style="thin">
        <color indexed="8"/>
      </top>
      <bottom style="thick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ck">
        <color indexed="8"/>
      </bottom>
      <diagonal/>
    </border>
    <border>
      <left style="hair">
        <color indexed="8"/>
      </left>
      <right style="thick">
        <color indexed="8"/>
      </right>
      <top/>
      <bottom style="thick">
        <color indexed="8"/>
      </bottom>
      <diagonal/>
    </border>
  </borders>
  <cellStyleXfs count="1">
    <xf numFmtId="0" fontId="0" fillId="0" borderId="0"/>
  </cellStyleXfs>
  <cellXfs count="112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justify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justify" vertical="center" wrapText="1"/>
    </xf>
    <xf numFmtId="0" fontId="4" fillId="4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justify" vertical="center"/>
    </xf>
    <xf numFmtId="0" fontId="1" fillId="0" borderId="0" xfId="0" applyFont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4" fontId="3" fillId="3" borderId="8" xfId="0" applyNumberFormat="1" applyFont="1" applyFill="1" applyBorder="1" applyAlignment="1">
      <alignment horizontal="justify" vertical="center"/>
    </xf>
    <xf numFmtId="0" fontId="2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 wrapText="1"/>
    </xf>
    <xf numFmtId="4" fontId="3" fillId="5" borderId="11" xfId="0" applyNumberFormat="1" applyFont="1" applyFill="1" applyBorder="1" applyAlignment="1">
      <alignment horizontal="justify" vertical="center"/>
    </xf>
    <xf numFmtId="0" fontId="2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left" vertical="center" wrapText="1"/>
    </xf>
    <xf numFmtId="4" fontId="3" fillId="5" borderId="14" xfId="0" applyNumberFormat="1" applyFont="1" applyFill="1" applyBorder="1" applyAlignment="1">
      <alignment horizontal="justify" vertical="center"/>
    </xf>
    <xf numFmtId="0" fontId="2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left" vertical="center" wrapText="1"/>
    </xf>
    <xf numFmtId="4" fontId="3" fillId="5" borderId="17" xfId="0" applyNumberFormat="1" applyFont="1" applyFill="1" applyBorder="1" applyAlignment="1">
      <alignment horizontal="justify" vertical="center"/>
    </xf>
    <xf numFmtId="0" fontId="2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left" vertical="center"/>
    </xf>
    <xf numFmtId="9" fontId="3" fillId="3" borderId="20" xfId="0" applyNumberFormat="1" applyFont="1" applyFill="1" applyBorder="1" applyAlignment="1">
      <alignment horizontal="justify" vertical="center"/>
    </xf>
    <xf numFmtId="0" fontId="2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left" vertical="center"/>
    </xf>
    <xf numFmtId="9" fontId="3" fillId="3" borderId="23" xfId="0" applyNumberFormat="1" applyFont="1" applyFill="1" applyBorder="1" applyAlignment="1">
      <alignment horizontal="justify" vertical="center"/>
    </xf>
    <xf numFmtId="0" fontId="3" fillId="3" borderId="22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justify" vertical="center" wrapText="1"/>
    </xf>
    <xf numFmtId="0" fontId="2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 vertical="center"/>
    </xf>
    <xf numFmtId="0" fontId="3" fillId="3" borderId="26" xfId="0" applyFont="1" applyFill="1" applyBorder="1" applyAlignment="1">
      <alignment horizontal="justify" vertical="center" wrapText="1"/>
    </xf>
    <xf numFmtId="9" fontId="3" fillId="5" borderId="3" xfId="0" applyNumberFormat="1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justify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justify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justify" vertical="center" wrapText="1"/>
    </xf>
    <xf numFmtId="0" fontId="1" fillId="0" borderId="0" xfId="0" applyFont="1" applyAlignment="1">
      <alignment horizontal="left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justify" vertical="center" wrapText="1"/>
    </xf>
    <xf numFmtId="0" fontId="2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left" vertical="center"/>
    </xf>
    <xf numFmtId="0" fontId="3" fillId="5" borderId="32" xfId="0" applyFont="1" applyFill="1" applyBorder="1" applyAlignment="1">
      <alignment horizontal="justify" wrapText="1"/>
    </xf>
    <xf numFmtId="0" fontId="2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left" vertical="center"/>
    </xf>
    <xf numFmtId="0" fontId="3" fillId="5" borderId="35" xfId="0" applyFont="1" applyFill="1" applyBorder="1" applyAlignment="1">
      <alignment horizontal="justify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justify" vertical="center" wrapText="1"/>
    </xf>
    <xf numFmtId="0" fontId="2" fillId="3" borderId="3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justify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left" vertical="center"/>
    </xf>
    <xf numFmtId="0" fontId="3" fillId="5" borderId="32" xfId="0" applyFont="1" applyFill="1" applyBorder="1" applyAlignment="1">
      <alignment horizontal="justify" vertical="justify"/>
    </xf>
    <xf numFmtId="0" fontId="2" fillId="5" borderId="40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left" vertical="center"/>
    </xf>
    <xf numFmtId="0" fontId="3" fillId="5" borderId="41" xfId="0" applyFont="1" applyFill="1" applyBorder="1" applyAlignment="1">
      <alignment horizontal="justify" vertical="justify"/>
    </xf>
    <xf numFmtId="0" fontId="3" fillId="5" borderId="41" xfId="0" applyFont="1" applyFill="1" applyBorder="1" applyAlignment="1">
      <alignment horizontal="justify" vertical="justify" wrapText="1"/>
    </xf>
    <xf numFmtId="0" fontId="5" fillId="5" borderId="22" xfId="0" applyFont="1" applyFill="1" applyBorder="1" applyAlignment="1">
      <alignment horizontal="left" vertical="center"/>
    </xf>
    <xf numFmtId="0" fontId="2" fillId="5" borderId="33" xfId="0" applyFont="1" applyFill="1" applyBorder="1" applyAlignment="1">
      <alignment horizontal="center" vertical="center" wrapText="1"/>
    </xf>
    <xf numFmtId="0" fontId="5" fillId="5" borderId="34" xfId="0" applyFont="1" applyFill="1" applyBorder="1" applyAlignment="1">
      <alignment horizontal="left" vertical="center"/>
    </xf>
    <xf numFmtId="0" fontId="3" fillId="5" borderId="35" xfId="0" applyFont="1" applyFill="1" applyBorder="1" applyAlignment="1">
      <alignment horizontal="justify" vertical="justify" wrapText="1"/>
    </xf>
    <xf numFmtId="0" fontId="2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left" vertical="center"/>
    </xf>
    <xf numFmtId="0" fontId="3" fillId="3" borderId="44" xfId="0" applyFont="1" applyFill="1" applyBorder="1" applyAlignment="1">
      <alignment horizontal="justify" vertical="center" wrapText="1"/>
    </xf>
    <xf numFmtId="0" fontId="2" fillId="5" borderId="42" xfId="0" applyFont="1" applyFill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justify" vertical="center"/>
    </xf>
    <xf numFmtId="0" fontId="2" fillId="3" borderId="3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left" vertical="center"/>
    </xf>
    <xf numFmtId="0" fontId="2" fillId="3" borderId="40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left" vertical="center"/>
    </xf>
    <xf numFmtId="0" fontId="3" fillId="3" borderId="41" xfId="0" applyFont="1" applyFill="1" applyBorder="1" applyAlignment="1">
      <alignment horizontal="justify" vertical="center" wrapText="1"/>
    </xf>
    <xf numFmtId="0" fontId="5" fillId="3" borderId="22" xfId="0" applyFont="1" applyFill="1" applyBorder="1" applyAlignment="1">
      <alignment horizontal="left" vertical="center"/>
    </xf>
    <xf numFmtId="0" fontId="2" fillId="3" borderId="33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left" vertical="center"/>
    </xf>
    <xf numFmtId="0" fontId="3" fillId="5" borderId="32" xfId="0" applyFont="1" applyFill="1" applyBorder="1" applyAlignment="1">
      <alignment horizontal="justify" vertical="center" wrapText="1"/>
    </xf>
    <xf numFmtId="0" fontId="3" fillId="5" borderId="41" xfId="0" applyFont="1" applyFill="1" applyBorder="1" applyAlignment="1">
      <alignment horizontal="justify" vertical="center" wrapText="1"/>
    </xf>
    <xf numFmtId="0" fontId="5" fillId="5" borderId="22" xfId="0" applyFont="1" applyFill="1" applyBorder="1" applyAlignment="1">
      <alignment horizontal="left" vertical="center" wrapText="1"/>
    </xf>
    <xf numFmtId="164" fontId="3" fillId="5" borderId="41" xfId="0" applyNumberFormat="1" applyFont="1" applyFill="1" applyBorder="1" applyAlignment="1">
      <alignment horizontal="justify" vertical="center" wrapText="1"/>
    </xf>
    <xf numFmtId="0" fontId="5" fillId="5" borderId="34" xfId="0" applyFont="1" applyFill="1" applyBorder="1" applyAlignment="1">
      <alignment horizontal="left" vertical="center"/>
    </xf>
    <xf numFmtId="0" fontId="3" fillId="5" borderId="35" xfId="0" applyFont="1" applyFill="1" applyBorder="1" applyAlignment="1">
      <alignment horizontal="justify" vertical="center" wrapText="1"/>
    </xf>
    <xf numFmtId="0" fontId="2" fillId="6" borderId="42" xfId="0" applyFont="1" applyFill="1" applyBorder="1" applyAlignment="1">
      <alignment horizontal="center" vertical="center" wrapText="1"/>
    </xf>
    <xf numFmtId="0" fontId="2" fillId="6" borderId="43" xfId="0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justify" vertical="center" wrapText="1"/>
    </xf>
    <xf numFmtId="0" fontId="2" fillId="5" borderId="45" xfId="0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justify" vertical="center"/>
    </xf>
    <xf numFmtId="0" fontId="2" fillId="5" borderId="48" xfId="0" applyFont="1" applyFill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/>
    </xf>
    <xf numFmtId="0" fontId="2" fillId="5" borderId="50" xfId="0" applyFont="1" applyFill="1" applyBorder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3" fillId="0" borderId="0" xfId="0" applyFont="1"/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2"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27"/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131619</xdr:colOff>
      <xdr:row>4</xdr:row>
      <xdr:rowOff>41564</xdr:rowOff>
    </xdr:from>
    <xdr:to>
      <xdr:col>4</xdr:col>
      <xdr:colOff>1378528</xdr:colOff>
      <xdr:row>6</xdr:row>
      <xdr:rowOff>138546</xdr:rowOff>
    </xdr:to>
    <xdr:sp macro="[1]!VoltarSindicato1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990B827B-38CD-46C7-91E8-A564DC317B27}"/>
            </a:ext>
          </a:extLst>
        </xdr:cNvPr>
        <xdr:cNvSpPr/>
      </xdr:nvSpPr>
      <xdr:spPr bwMode="auto">
        <a:xfrm>
          <a:off x="10220499" y="712124"/>
          <a:ext cx="1246909" cy="363682"/>
        </a:xfrm>
        <a:prstGeom prst="roundRect">
          <a:avLst/>
        </a:prstGeom>
        <a:solidFill>
          <a:srgbClr val="CD9B69"/>
        </a:solidFill>
        <a:ln w="12700" cap="flat" cmpd="sng" algn="ctr">
          <a:solidFill>
            <a:srgbClr val="996633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pt-BR" sz="1100" b="1"/>
            <a:t>Voltar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Setor%20Pessoal/02%20-%20Informa&#231;&#245;es%20Sindicais%20e%20CCT/N&#195;O%20APAGAR/Resumo%20das%20Conven&#231;&#245;es%20EM%20CONSTRU&#199;&#195;O%20-%20Gisele.xlsm" TargetMode="External"/><Relationship Id="rId2" Type="http://schemas.openxmlformats.org/officeDocument/2006/relationships/externalLinkPath" Target="file:///Z:\Setor%20Pessoal\02%20-%20Informa&#231;&#245;es%20Sindicais%20e%20CCT\N&#195;O%20APAGAR\Resumo%20das%20Conven&#231;&#245;es%20EM%20CONSTRU&#199;&#195;O%20-%20Gisele.xlsm" TargetMode="External"/><Relationship Id="rId1" Type="http://schemas.openxmlformats.org/officeDocument/2006/relationships/externalLinkPath" Target="/Setor%20Pessoal/02%20-%20Informa&#231;&#245;es%20Sindicais%20e%20CCT/N&#195;O%20APAGAR/Resumo%20das%20Conven&#231;&#245;es%20EM%20CONSTRU&#199;&#195;O%20-%20Gise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  <sheetName val="Guia"/>
      <sheetName val="Empresa - Convenção Coletiva - "/>
      <sheetName val="Modelo"/>
      <sheetName val="Motoristas - Criciúma-Içara-For"/>
      <sheetName val="Comércio Imbituba"/>
      <sheetName val="Processamento de dados SC"/>
      <sheetName val="Locação de Imóveis Criciúma"/>
      <sheetName val="Vestuário - CRICIÚMA"/>
      <sheetName val="Construção Civil - CRICIÚMA"/>
      <sheetName val="Movelaria - CRICIÚMA "/>
      <sheetName val="Motoristas - Rincão e Cocal"/>
      <sheetName val="Reparação de veículos - Criciúm"/>
      <sheetName val="Massas e Biscoitos - Criciúma e"/>
      <sheetName val="Lavanderia"/>
      <sheetName val="Comercio de tubarão"/>
      <sheetName val="Acessoramento"/>
      <sheetName val="Metalurgica"/>
      <sheetName val="Transportes AMUREL"/>
      <sheetName val="Ceramica vermelha"/>
      <sheetName val="Movelaria Tubarão"/>
      <sheetName val="Farmacias Criciuma "/>
      <sheetName val="Coméricio de Araranguá"/>
      <sheetName val="Saúde Criciúma"/>
      <sheetName val="Coméricio de Criciuma"/>
      <sheetName val="Distribuidores de veiculos "/>
    </sheetNames>
    <definedNames>
      <definedName name="VoltarSindicato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817F-C2E5-4DA4-9291-756FDB3DCA16}">
  <dimension ref="A1:E75"/>
  <sheetViews>
    <sheetView tabSelected="1" topLeftCell="A2" workbookViewId="0">
      <selection activeCell="E15" sqref="E15"/>
    </sheetView>
  </sheetViews>
  <sheetFormatPr defaultColWidth="11.5546875" defaultRowHeight="10.199999999999999" x14ac:dyDescent="0.2"/>
  <cols>
    <col min="1" max="1" width="19.5546875" style="2" customWidth="1"/>
    <col min="2" max="2" width="63" style="2" bestFit="1" customWidth="1"/>
    <col min="3" max="3" width="56.88671875" style="3" customWidth="1"/>
    <col min="4" max="4" width="7.6640625" style="2" customWidth="1"/>
    <col min="5" max="5" width="21.88671875" style="2" bestFit="1" customWidth="1"/>
    <col min="6" max="16384" width="11.5546875" style="2"/>
  </cols>
  <sheetData>
    <row r="1" spans="1:5" ht="10.8" hidden="1" thickBot="1" x14ac:dyDescent="0.25">
      <c r="A1" s="1">
        <f ca="1">TODAY()</f>
        <v>46198</v>
      </c>
    </row>
    <row r="2" spans="1:5" ht="21" thickBot="1" x14ac:dyDescent="0.25">
      <c r="A2" s="4" t="s">
        <v>0</v>
      </c>
      <c r="B2" s="5"/>
      <c r="C2" s="6" t="s">
        <v>1</v>
      </c>
      <c r="E2" s="7" t="s">
        <v>2</v>
      </c>
    </row>
    <row r="3" spans="1:5" ht="21" thickBot="1" x14ac:dyDescent="0.25">
      <c r="A3" s="8" t="s">
        <v>3</v>
      </c>
      <c r="B3" s="9"/>
      <c r="C3" s="10" t="s">
        <v>4</v>
      </c>
      <c r="E3" s="11" t="str">
        <f ca="1">IF(C6&lt;A1,"VENCIDA","VIGENTE")</f>
        <v>VIGENTE</v>
      </c>
    </row>
    <row r="4" spans="1:5" ht="10.8" thickBot="1" x14ac:dyDescent="0.25">
      <c r="A4" s="12" t="s">
        <v>5</v>
      </c>
      <c r="B4" s="13"/>
      <c r="C4" s="6" t="s">
        <v>6</v>
      </c>
      <c r="E4" s="14"/>
    </row>
    <row r="5" spans="1:5" ht="10.199999999999999" customHeight="1" thickBot="1" x14ac:dyDescent="0.25">
      <c r="A5" s="15" t="s">
        <v>7</v>
      </c>
      <c r="B5" s="16"/>
      <c r="C5" s="17" t="s">
        <v>8</v>
      </c>
      <c r="E5" s="18"/>
    </row>
    <row r="6" spans="1:5" ht="10.8" thickBot="1" x14ac:dyDescent="0.25">
      <c r="A6" s="19" t="s">
        <v>9</v>
      </c>
      <c r="B6" s="20"/>
      <c r="C6" s="21">
        <v>46265</v>
      </c>
      <c r="E6" s="18"/>
    </row>
    <row r="7" spans="1:5" ht="13.5" customHeight="1" x14ac:dyDescent="0.2">
      <c r="A7" s="22" t="s">
        <v>10</v>
      </c>
      <c r="B7" s="23" t="s">
        <v>11</v>
      </c>
      <c r="C7" s="24">
        <v>2673.15</v>
      </c>
      <c r="E7" s="18"/>
    </row>
    <row r="8" spans="1:5" x14ac:dyDescent="0.2">
      <c r="A8" s="25"/>
      <c r="B8" s="26" t="s">
        <v>12</v>
      </c>
      <c r="C8" s="27">
        <v>2111.94</v>
      </c>
    </row>
    <row r="9" spans="1:5" x14ac:dyDescent="0.2">
      <c r="A9" s="25"/>
      <c r="B9" s="26" t="s">
        <v>13</v>
      </c>
      <c r="C9" s="27">
        <v>1970.66</v>
      </c>
    </row>
    <row r="10" spans="1:5" x14ac:dyDescent="0.2">
      <c r="A10" s="25"/>
      <c r="B10" s="26" t="s">
        <v>14</v>
      </c>
      <c r="C10" s="27">
        <v>1787.85</v>
      </c>
    </row>
    <row r="11" spans="1:5" ht="10.8" thickBot="1" x14ac:dyDescent="0.25">
      <c r="A11" s="28"/>
      <c r="B11" s="29" t="s">
        <v>15</v>
      </c>
      <c r="C11" s="30">
        <v>1787.85</v>
      </c>
    </row>
    <row r="12" spans="1:5" x14ac:dyDescent="0.2">
      <c r="A12" s="31" t="s">
        <v>16</v>
      </c>
      <c r="B12" s="32" t="s">
        <v>17</v>
      </c>
      <c r="C12" s="33">
        <v>0.6</v>
      </c>
    </row>
    <row r="13" spans="1:5" x14ac:dyDescent="0.2">
      <c r="A13" s="34"/>
      <c r="B13" s="35" t="s">
        <v>18</v>
      </c>
      <c r="C13" s="36">
        <v>1</v>
      </c>
    </row>
    <row r="14" spans="1:5" ht="20.399999999999999" x14ac:dyDescent="0.2">
      <c r="A14" s="34"/>
      <c r="B14" s="37" t="s">
        <v>19</v>
      </c>
      <c r="C14" s="38" t="s">
        <v>20</v>
      </c>
    </row>
    <row r="15" spans="1:5" ht="21" thickBot="1" x14ac:dyDescent="0.25">
      <c r="A15" s="39"/>
      <c r="B15" s="40"/>
      <c r="C15" s="41" t="s">
        <v>21</v>
      </c>
    </row>
    <row r="16" spans="1:5" ht="10.8" thickBot="1" x14ac:dyDescent="0.25">
      <c r="A16" s="8" t="s">
        <v>22</v>
      </c>
      <c r="B16" s="9"/>
      <c r="C16" s="42">
        <v>0.25</v>
      </c>
    </row>
    <row r="17" spans="1:5" ht="10.8" thickBot="1" x14ac:dyDescent="0.25">
      <c r="A17" s="43" t="s">
        <v>23</v>
      </c>
      <c r="B17" s="44"/>
      <c r="C17" s="45" t="s">
        <v>24</v>
      </c>
    </row>
    <row r="18" spans="1:5" ht="10.8" thickBot="1" x14ac:dyDescent="0.25">
      <c r="A18" s="8" t="s">
        <v>25</v>
      </c>
      <c r="B18" s="9"/>
      <c r="C18" s="10" t="s">
        <v>26</v>
      </c>
    </row>
    <row r="19" spans="1:5" ht="13.2" customHeight="1" x14ac:dyDescent="0.2">
      <c r="A19" s="46" t="s">
        <v>27</v>
      </c>
      <c r="B19" s="47"/>
      <c r="C19" s="48" t="s">
        <v>28</v>
      </c>
    </row>
    <row r="20" spans="1:5" ht="30.6" x14ac:dyDescent="0.2">
      <c r="A20" s="49"/>
      <c r="B20" s="50"/>
      <c r="C20" s="51" t="s">
        <v>29</v>
      </c>
    </row>
    <row r="21" spans="1:5" ht="30.6" x14ac:dyDescent="0.2">
      <c r="A21" s="49"/>
      <c r="B21" s="50"/>
      <c r="C21" s="51" t="s">
        <v>30</v>
      </c>
    </row>
    <row r="22" spans="1:5" ht="20.399999999999999" x14ac:dyDescent="0.2">
      <c r="A22" s="49"/>
      <c r="B22" s="50"/>
      <c r="C22" s="51" t="s">
        <v>31</v>
      </c>
      <c r="E22" s="52"/>
    </row>
    <row r="23" spans="1:5" ht="21" thickBot="1" x14ac:dyDescent="0.25">
      <c r="A23" s="53"/>
      <c r="B23" s="54"/>
      <c r="C23" s="55" t="s">
        <v>32</v>
      </c>
    </row>
    <row r="24" spans="1:5" ht="31.2" thickTop="1" x14ac:dyDescent="0.2">
      <c r="A24" s="56" t="s">
        <v>33</v>
      </c>
      <c r="B24" s="57" t="s">
        <v>34</v>
      </c>
      <c r="C24" s="58" t="s">
        <v>35</v>
      </c>
    </row>
    <row r="25" spans="1:5" ht="10.8" thickBot="1" x14ac:dyDescent="0.25">
      <c r="A25" s="59"/>
      <c r="B25" s="60" t="s">
        <v>36</v>
      </c>
      <c r="C25" s="61" t="s">
        <v>37</v>
      </c>
    </row>
    <row r="26" spans="1:5" ht="21" thickTop="1" x14ac:dyDescent="0.2">
      <c r="A26" s="62" t="s">
        <v>38</v>
      </c>
      <c r="B26" s="63"/>
      <c r="C26" s="64" t="s">
        <v>39</v>
      </c>
    </row>
    <row r="27" spans="1:5" ht="21" thickBot="1" x14ac:dyDescent="0.25">
      <c r="A27" s="65"/>
      <c r="B27" s="66"/>
      <c r="C27" s="67" t="s">
        <v>40</v>
      </c>
    </row>
    <row r="28" spans="1:5" ht="13.2" customHeight="1" thickTop="1" x14ac:dyDescent="0.2">
      <c r="A28" s="68" t="s">
        <v>41</v>
      </c>
      <c r="B28" s="69" t="s">
        <v>42</v>
      </c>
      <c r="C28" s="70" t="s">
        <v>43</v>
      </c>
    </row>
    <row r="29" spans="1:5" ht="13.2" customHeight="1" x14ac:dyDescent="0.2">
      <c r="A29" s="71"/>
      <c r="B29" s="72" t="s">
        <v>44</v>
      </c>
      <c r="C29" s="73" t="s">
        <v>45</v>
      </c>
    </row>
    <row r="30" spans="1:5" x14ac:dyDescent="0.2">
      <c r="A30" s="71"/>
      <c r="B30" s="72" t="s">
        <v>46</v>
      </c>
      <c r="C30" s="73" t="s">
        <v>47</v>
      </c>
    </row>
    <row r="31" spans="1:5" ht="71.400000000000006" x14ac:dyDescent="0.2">
      <c r="A31" s="71"/>
      <c r="B31" s="72" t="s">
        <v>48</v>
      </c>
      <c r="C31" s="74" t="s">
        <v>49</v>
      </c>
    </row>
    <row r="32" spans="1:5" ht="30.6" x14ac:dyDescent="0.2">
      <c r="A32" s="71"/>
      <c r="B32" s="75" t="s">
        <v>50</v>
      </c>
      <c r="C32" s="74" t="s">
        <v>51</v>
      </c>
    </row>
    <row r="33" spans="1:3" x14ac:dyDescent="0.2">
      <c r="A33" s="71"/>
      <c r="B33" s="75"/>
      <c r="C33" s="74" t="s">
        <v>52</v>
      </c>
    </row>
    <row r="34" spans="1:3" ht="31.95" customHeight="1" thickBot="1" x14ac:dyDescent="0.25">
      <c r="A34" s="76"/>
      <c r="B34" s="77"/>
      <c r="C34" s="78" t="s">
        <v>53</v>
      </c>
    </row>
    <row r="35" spans="1:3" ht="21.6" thickTop="1" thickBot="1" x14ac:dyDescent="0.25">
      <c r="A35" s="79" t="s">
        <v>54</v>
      </c>
      <c r="B35" s="80" t="s">
        <v>55</v>
      </c>
      <c r="C35" s="81" t="s">
        <v>56</v>
      </c>
    </row>
    <row r="36" spans="1:3" ht="10.199999999999999" customHeight="1" thickTop="1" thickBot="1" x14ac:dyDescent="0.25">
      <c r="A36" s="82" t="s">
        <v>57</v>
      </c>
      <c r="B36" s="83"/>
      <c r="C36" s="84" t="s">
        <v>58</v>
      </c>
    </row>
    <row r="37" spans="1:3" ht="52.5" customHeight="1" thickTop="1" x14ac:dyDescent="0.2">
      <c r="A37" s="85" t="s">
        <v>59</v>
      </c>
      <c r="B37" s="86" t="s">
        <v>60</v>
      </c>
      <c r="C37" s="64" t="s">
        <v>61</v>
      </c>
    </row>
    <row r="38" spans="1:3" ht="20.399999999999999" x14ac:dyDescent="0.2">
      <c r="A38" s="87"/>
      <c r="B38" s="88"/>
      <c r="C38" s="89" t="s">
        <v>62</v>
      </c>
    </row>
    <row r="39" spans="1:3" ht="20.399999999999999" x14ac:dyDescent="0.2">
      <c r="A39" s="87"/>
      <c r="B39" s="90" t="s">
        <v>63</v>
      </c>
      <c r="C39" s="89" t="s">
        <v>64</v>
      </c>
    </row>
    <row r="40" spans="1:3" ht="30.6" x14ac:dyDescent="0.2">
      <c r="A40" s="87"/>
      <c r="B40" s="88" t="s">
        <v>65</v>
      </c>
      <c r="C40" s="89" t="s">
        <v>66</v>
      </c>
    </row>
    <row r="41" spans="1:3" ht="22.95" customHeight="1" x14ac:dyDescent="0.2">
      <c r="A41" s="87"/>
      <c r="B41" s="88"/>
      <c r="C41" s="89" t="s">
        <v>67</v>
      </c>
    </row>
    <row r="42" spans="1:3" ht="36" customHeight="1" thickBot="1" x14ac:dyDescent="0.25">
      <c r="A42" s="91"/>
      <c r="B42" s="92"/>
      <c r="C42" s="67" t="s">
        <v>68</v>
      </c>
    </row>
    <row r="43" spans="1:3" ht="22.95" customHeight="1" thickTop="1" x14ac:dyDescent="0.2">
      <c r="A43" s="68" t="s">
        <v>69</v>
      </c>
      <c r="B43" s="69" t="s">
        <v>70</v>
      </c>
      <c r="C43" s="93" t="s">
        <v>71</v>
      </c>
    </row>
    <row r="44" spans="1:3" ht="22.95" customHeight="1" x14ac:dyDescent="0.2">
      <c r="A44" s="71"/>
      <c r="B44" s="72" t="s">
        <v>72</v>
      </c>
      <c r="C44" s="94" t="s">
        <v>73</v>
      </c>
    </row>
    <row r="45" spans="1:3" ht="22.95" customHeight="1" x14ac:dyDescent="0.2">
      <c r="A45" s="71"/>
      <c r="B45" s="72" t="s">
        <v>74</v>
      </c>
      <c r="C45" s="94" t="s">
        <v>75</v>
      </c>
    </row>
    <row r="46" spans="1:3" ht="22.95" customHeight="1" x14ac:dyDescent="0.2">
      <c r="A46" s="71"/>
      <c r="B46" s="95" t="s">
        <v>76</v>
      </c>
      <c r="C46" s="96">
        <v>67.44</v>
      </c>
    </row>
    <row r="47" spans="1:3" ht="22.95" customHeight="1" x14ac:dyDescent="0.2">
      <c r="A47" s="71"/>
      <c r="B47" s="72" t="s">
        <v>77</v>
      </c>
      <c r="C47" s="94" t="s">
        <v>78</v>
      </c>
    </row>
    <row r="48" spans="1:3" ht="22.95" customHeight="1" x14ac:dyDescent="0.2">
      <c r="A48" s="71"/>
      <c r="B48" s="72" t="s">
        <v>79</v>
      </c>
      <c r="C48" s="94" t="s">
        <v>80</v>
      </c>
    </row>
    <row r="49" spans="1:3" ht="22.95" customHeight="1" x14ac:dyDescent="0.2">
      <c r="A49" s="71"/>
      <c r="B49" s="72" t="s">
        <v>81</v>
      </c>
      <c r="C49" s="94" t="s">
        <v>82</v>
      </c>
    </row>
    <row r="50" spans="1:3" ht="30.6" x14ac:dyDescent="0.2">
      <c r="A50" s="71"/>
      <c r="B50" s="75" t="s">
        <v>83</v>
      </c>
      <c r="C50" s="94" t="s">
        <v>84</v>
      </c>
    </row>
    <row r="51" spans="1:3" ht="20.399999999999999" x14ac:dyDescent="0.2">
      <c r="A51" s="71"/>
      <c r="B51" s="75"/>
      <c r="C51" s="94" t="s">
        <v>85</v>
      </c>
    </row>
    <row r="52" spans="1:3" ht="30.6" x14ac:dyDescent="0.2">
      <c r="A52" s="71"/>
      <c r="B52" s="75"/>
      <c r="C52" s="94" t="s">
        <v>86</v>
      </c>
    </row>
    <row r="53" spans="1:3" ht="20.399999999999999" x14ac:dyDescent="0.2">
      <c r="A53" s="71"/>
      <c r="B53" s="72" t="s">
        <v>87</v>
      </c>
      <c r="C53" s="94" t="s">
        <v>88</v>
      </c>
    </row>
    <row r="54" spans="1:3" ht="20.399999999999999" x14ac:dyDescent="0.2">
      <c r="A54" s="71"/>
      <c r="B54" s="72" t="s">
        <v>89</v>
      </c>
      <c r="C54" s="94" t="s">
        <v>90</v>
      </c>
    </row>
    <row r="55" spans="1:3" ht="40.799999999999997" x14ac:dyDescent="0.2">
      <c r="A55" s="71"/>
      <c r="B55" s="72" t="s">
        <v>91</v>
      </c>
      <c r="C55" s="94" t="s">
        <v>92</v>
      </c>
    </row>
    <row r="56" spans="1:3" ht="20.399999999999999" x14ac:dyDescent="0.2">
      <c r="A56" s="71"/>
      <c r="B56" s="72" t="s">
        <v>93</v>
      </c>
      <c r="C56" s="94" t="s">
        <v>94</v>
      </c>
    </row>
    <row r="57" spans="1:3" ht="30.6" x14ac:dyDescent="0.2">
      <c r="A57" s="71"/>
      <c r="B57" s="75" t="s">
        <v>95</v>
      </c>
      <c r="C57" s="94" t="s">
        <v>96</v>
      </c>
    </row>
    <row r="58" spans="1:3" ht="20.399999999999999" x14ac:dyDescent="0.2">
      <c r="A58" s="71"/>
      <c r="B58" s="75"/>
      <c r="C58" s="94" t="s">
        <v>97</v>
      </c>
    </row>
    <row r="59" spans="1:3" ht="31.2" thickBot="1" x14ac:dyDescent="0.25">
      <c r="A59" s="76"/>
      <c r="B59" s="97" t="s">
        <v>98</v>
      </c>
      <c r="C59" s="98" t="s">
        <v>99</v>
      </c>
    </row>
    <row r="60" spans="1:3" ht="42.15" customHeight="1" thickTop="1" thickBot="1" x14ac:dyDescent="0.25">
      <c r="A60" s="99" t="s">
        <v>100</v>
      </c>
      <c r="B60" s="100"/>
      <c r="C60" s="101" t="s">
        <v>101</v>
      </c>
    </row>
    <row r="61" spans="1:3" ht="11.25" customHeight="1" thickTop="1" x14ac:dyDescent="0.2">
      <c r="A61" s="102" t="s">
        <v>102</v>
      </c>
      <c r="B61" s="103"/>
      <c r="C61" s="104" t="s">
        <v>103</v>
      </c>
    </row>
    <row r="62" spans="1:3" ht="10.8" thickBot="1" x14ac:dyDescent="0.25">
      <c r="A62" s="105"/>
      <c r="B62" s="106"/>
      <c r="C62" s="107"/>
    </row>
    <row r="63" spans="1:3" ht="10.8" thickTop="1" x14ac:dyDescent="0.2">
      <c r="A63" s="108"/>
      <c r="B63" s="108"/>
      <c r="C63" s="109"/>
    </row>
    <row r="64" spans="1:3" x14ac:dyDescent="0.2">
      <c r="A64" s="110"/>
      <c r="B64" s="110"/>
      <c r="C64" s="111"/>
    </row>
    <row r="65" spans="1:3" x14ac:dyDescent="0.2">
      <c r="A65" s="110"/>
      <c r="B65" s="110"/>
      <c r="C65" s="111"/>
    </row>
    <row r="66" spans="1:3" x14ac:dyDescent="0.2">
      <c r="A66" s="110"/>
      <c r="B66" s="110"/>
      <c r="C66" s="111"/>
    </row>
    <row r="67" spans="1:3" x14ac:dyDescent="0.2">
      <c r="A67" s="110"/>
      <c r="B67" s="110"/>
      <c r="C67" s="111"/>
    </row>
    <row r="68" spans="1:3" x14ac:dyDescent="0.2">
      <c r="A68" s="110"/>
      <c r="B68" s="110"/>
      <c r="C68" s="111"/>
    </row>
    <row r="69" spans="1:3" x14ac:dyDescent="0.2">
      <c r="A69" s="110"/>
      <c r="B69" s="110"/>
      <c r="C69" s="111"/>
    </row>
    <row r="70" spans="1:3" x14ac:dyDescent="0.2">
      <c r="A70" s="110"/>
      <c r="B70" s="110"/>
      <c r="C70" s="111"/>
    </row>
    <row r="71" spans="1:3" x14ac:dyDescent="0.2">
      <c r="A71" s="110"/>
      <c r="B71" s="110"/>
      <c r="C71" s="111"/>
    </row>
    <row r="72" spans="1:3" x14ac:dyDescent="0.2">
      <c r="A72" s="110"/>
      <c r="B72" s="110"/>
      <c r="C72" s="111"/>
    </row>
    <row r="73" spans="1:3" x14ac:dyDescent="0.2">
      <c r="A73" s="110"/>
      <c r="B73" s="110"/>
      <c r="C73" s="111"/>
    </row>
    <row r="74" spans="1:3" x14ac:dyDescent="0.2">
      <c r="A74" s="110"/>
      <c r="B74" s="110"/>
      <c r="C74" s="111"/>
    </row>
    <row r="75" spans="1:3" x14ac:dyDescent="0.2">
      <c r="A75" s="110"/>
      <c r="B75" s="110"/>
      <c r="C75" s="111"/>
    </row>
  </sheetData>
  <mergeCells count="27">
    <mergeCell ref="A43:A59"/>
    <mergeCell ref="B50:B52"/>
    <mergeCell ref="B57:B58"/>
    <mergeCell ref="A60:B60"/>
    <mergeCell ref="A61:B62"/>
    <mergeCell ref="C61:C62"/>
    <mergeCell ref="A24:A25"/>
    <mergeCell ref="A26:B27"/>
    <mergeCell ref="A28:A34"/>
    <mergeCell ref="B32:B34"/>
    <mergeCell ref="A36:B36"/>
    <mergeCell ref="A37:A42"/>
    <mergeCell ref="B37:B38"/>
    <mergeCell ref="B40:B42"/>
    <mergeCell ref="A12:A15"/>
    <mergeCell ref="B14:B15"/>
    <mergeCell ref="A16:B16"/>
    <mergeCell ref="A17:B17"/>
    <mergeCell ref="A18:B18"/>
    <mergeCell ref="A19:B23"/>
    <mergeCell ref="A2:B2"/>
    <mergeCell ref="A3:B3"/>
    <mergeCell ref="A4:B4"/>
    <mergeCell ref="A5:B5"/>
    <mergeCell ref="E5:E7"/>
    <mergeCell ref="A6:B6"/>
    <mergeCell ref="A7:A11"/>
  </mergeCells>
  <conditionalFormatting sqref="E3:E4">
    <cfRule type="expression" dxfId="1" priority="1" stopIfTrue="1">
      <formula>NOT(ISERROR(SEARCH("VIGENTE",E3)))</formula>
    </cfRule>
    <cfRule type="expression" dxfId="0" priority="2" stopIfTrue="1">
      <formula>NOT(ISERROR(SEARCH("VENCIDA",E3)))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Gisele Aparecida Crescencio</dc:creator>
  <cp:lastModifiedBy>Gisele Aparecida Crescencio</cp:lastModifiedBy>
  <dcterms:created xsi:type="dcterms:W3CDTF">2026-06-25T16:27:12Z</dcterms:created>
  <dcterms:modified xsi:type="dcterms:W3CDTF">2026-06-25T16:27:25Z</dcterms:modified>
</cp:coreProperties>
</file>